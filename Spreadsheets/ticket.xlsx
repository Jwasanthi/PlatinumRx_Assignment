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950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<sst xmlns="http://schemas.openxmlformats.org/spreadsheetml/2006/main" count="22" uniqueCount="21">
  <si>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>ticket_id</t>
  </si>
  <si>
    <t>created_at</t>
  </si>
  <si>
    <t>closed_at</t>
  </si>
  <si>
    <t>outlet_id</t>
  </si>
  <si>
    <t>cms_id</t>
  </si>
  <si>
    <t>feedback_date</t>
  </si>
  <si>
    <t>feedback_time</t>
  </si>
  <si>
    <t>feedback</t>
  </si>
  <si>
    <t>same_day?</t>
  </si>
  <si>
    <t>same_hour?</t>
  </si>
  <si>
    <t>tk-001</t>
  </si>
  <si>
    <t>outlet-1</t>
  </si>
  <si>
    <t>cms-100</t>
  </si>
  <si>
    <t>tk-002</t>
  </si>
  <si>
    <t>outlet-2</t>
  </si>
  <si>
    <t>cms-101</t>
  </si>
  <si>
    <t>tk-003</t>
  </si>
  <si>
    <t>cms-102</t>
  </si>
  <si>
    <t>tk-004</t>
  </si>
  <si>
    <t>outlet-3</t>
  </si>
  <si>
    <t>cms-103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</si>
</sst>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  <xf numFmtId="22" fontId="2" fillId="0" borderId="0" xfId="0" applyNumberFormat="1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BANDI\OneDrive\Ticket_Analysi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icket"/>
      <sheetName val="feedbacks"/>
      <sheetName val="Summary"/>
    </sheetNames>
    <sheetDataSet>
      <sheetData sheetId="0"/>
      <sheetData sheetId="1">
        <row r="2">
          <cell r="A2" t="str">
            <v>tk-001</v>
          </cell>
          <cell r="B2">
            <v>44427</v>
          </cell>
          <cell r="C2">
            <v>0.706944444444444</v>
          </cell>
          <cell r="D2" t="str">
            <v>Good service</v>
          </cell>
        </row>
        <row r="3">
          <cell r="A3" t="str">
            <v>tk-002</v>
          </cell>
          <cell r="B3">
            <v>44429</v>
          </cell>
          <cell r="C3">
            <v>0.506944444444444</v>
          </cell>
          <cell r="D3" t="str">
            <v>Slow response</v>
          </cell>
        </row>
        <row r="4">
          <cell r="A4" t="str">
            <v>tk-003</v>
          </cell>
          <cell r="B4">
            <v>44429</v>
          </cell>
          <cell r="C4">
            <v>0.513888888888889</v>
          </cell>
          <cell r="D4" t="str">
            <v>Efficient</v>
          </cell>
        </row>
        <row r="5">
          <cell r="A5" t="str">
            <v>tk-004</v>
          </cell>
          <cell r="B5">
            <v>44429</v>
          </cell>
          <cell r="C5">
            <v>0.472222222222222</v>
          </cell>
          <cell r="D5" t="str">
            <v>Quick fix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"/>
  <sheetViews>
    <sheetView tabSelected="1" workbookViewId="0">
      <selection activeCell="F6" sqref="F6"/>
    </sheetView>
  </sheetViews>
  <sheetFormatPr defaultColWidth="8.72727272727273" defaultRowHeight="14.5" outlineLevelRow="4"/>
  <cols>
    <col min="1" max="1" width="13.5454545454545" customWidth="1"/>
    <col min="2" max="2" width="17.7272727272727" customWidth="1"/>
    <col min="3" max="3" width="19.5454545454545" customWidth="1"/>
    <col min="4" max="4" width="14.2727272727273" customWidth="1"/>
    <col min="5" max="5" width="12.1818181818182" customWidth="1"/>
    <col min="6" max="6" width="14.2727272727273" customWidth="1"/>
    <col min="7" max="7" width="14.4545454545455" customWidth="1"/>
    <col min="8" max="8" width="14.1818181818182" customWidth="1"/>
    <col min="9" max="9" width="13" customWidth="1"/>
    <col min="10" max="10" width="11.6363636363636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>
        <v>44427.6984143518</v>
      </c>
      <c r="C2" s="3">
        <v>44427.705</v>
      </c>
      <c r="D2" s="2" t="s">
        <v>11</v>
      </c>
      <c r="E2" s="2" t="s">
        <v>12</v>
      </c>
      <c r="F2" s="2">
        <f>VLOOKUP(A2,[1]feedbacks!$A$2:$D$100,2,FALSE)</f>
        <v>44427</v>
      </c>
      <c r="G2" s="2">
        <f>VLOOKUP(A2,[1]feedbacks!$A$2:$D$100,3,FALSE)</f>
        <v>0.706944444444444</v>
      </c>
      <c r="H2" s="2" t="str">
        <f>VLOOKUP(A2,[1]feedbacks!$A$2:$D$100,4,FALSE)</f>
        <v>Good service</v>
      </c>
      <c r="I2" s="2" t="b">
        <f>IF(INT($B2)=INT($C2),TRUE,FALSE)</f>
        <v>1</v>
      </c>
      <c r="J2" s="2" t="b">
        <f>IF(AND(INT($B2)=INT($C2),HOUR($B2)=HOUR($C2)),TRUE,FALSE)</f>
        <v>1</v>
      </c>
    </row>
    <row r="3" spans="1:10">
      <c r="A3" s="2" t="s">
        <v>13</v>
      </c>
      <c r="B3" s="3">
        <v>44429.464837963</v>
      </c>
      <c r="C3" s="3">
        <v>44429.4965277778</v>
      </c>
      <c r="D3" s="2" t="s">
        <v>14</v>
      </c>
      <c r="E3" s="2" t="s">
        <v>15</v>
      </c>
      <c r="F3" s="2">
        <f>VLOOKUP(A3,[1]feedbacks!$A$2:$D$100,2,FALSE)</f>
        <v>44429</v>
      </c>
      <c r="G3" s="2">
        <f>VLOOKUP(A3,[1]feedbacks!$A$2:$D$100,3,FALSE)</f>
        <v>0.506944444444444</v>
      </c>
      <c r="H3" s="2" t="str">
        <f>VLOOKUP(A3,[1]feedbacks!$A$2:$D$100,4,FALSE)</f>
        <v>Slow response</v>
      </c>
      <c r="I3" s="2" t="b">
        <f>IF(INT($B3)=INT($C3),TRUE,FALSE)</f>
        <v>1</v>
      </c>
      <c r="J3" s="2" t="b">
        <f>IF(AND(INT($B3)=INT($C3),HOUR($B3)=HOUR($C3)),TRUE,FALSE)</f>
        <v>1</v>
      </c>
    </row>
    <row r="4" spans="1:10">
      <c r="A4" s="2" t="s">
        <v>16</v>
      </c>
      <c r="B4" s="3">
        <v>44429.46875</v>
      </c>
      <c r="C4" s="3">
        <v>44429.5104166667</v>
      </c>
      <c r="D4" s="2" t="s">
        <v>14</v>
      </c>
      <c r="E4" s="2" t="s">
        <v>17</v>
      </c>
      <c r="F4" s="2">
        <f>VLOOKUP(A4,[1]feedbacks!$A$2:$D$100,2,FALSE)</f>
        <v>44429</v>
      </c>
      <c r="G4" s="2">
        <f>VLOOKUP(A4,[1]feedbacks!$A$2:$D$100,3,FALSE)</f>
        <v>0.513888888888889</v>
      </c>
      <c r="H4" s="2" t="str">
        <f>VLOOKUP(A4,[1]feedbacks!$A$2:$D$100,4,FALSE)</f>
        <v>Efficient</v>
      </c>
      <c r="I4" s="2" t="b">
        <f>IF(INT($B4)=INT($C4),TRUE,FALSE)</f>
        <v>1</v>
      </c>
      <c r="J4" s="2" t="b">
        <f>IF(AND(INT($B4)=INT($C4),HOUR($B4)=HOUR($C4)),TRUE,FALSE)</f>
        <v>0</v>
      </c>
    </row>
    <row r="5" spans="1:10">
      <c r="A5" s="2" t="s">
        <v>18</v>
      </c>
      <c r="B5" s="3">
        <v>44429.464837963</v>
      </c>
      <c r="C5" s="3">
        <v>44429.4652546296</v>
      </c>
      <c r="D5" s="2" t="s">
        <v>19</v>
      </c>
      <c r="E5" s="2" t="s">
        <v>20</v>
      </c>
      <c r="F5" s="2">
        <f>VLOOKUP(A5,[1]feedbacks!$A$2:$D$100,2,FALSE)</f>
        <v>44429</v>
      </c>
      <c r="G5" s="2">
        <f>VLOOKUP(A5,[1]feedbacks!$A$2:$D$100,3,FALSE)</f>
        <v>0.472222222222222</v>
      </c>
      <c r="H5" s="2" t="str">
        <f>VLOOKUP(A5,[1]feedbacks!$A$2:$D$100,4,FALSE)</f>
        <v>Quick fix</v>
      </c>
      <c r="I5" s="2" t="b">
        <f>IF(INT($B5)=INT($C5),TRUE,FALSE)</f>
        <v>1</v>
      </c>
      <c r="J5" s="2" t="b">
        <f>IF(AND(INT($B5)=INT($C5),HOUR($B5)=HOUR($C5)),TRUE,FALSE)</f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BANDI</dc:creator>
  <cp:lastModifiedBy>BANDI</cp:lastModifiedBy>
  <dcterms:created xsi:type="dcterms:W3CDTF">2025-12-03T03:02:22Z</dcterms:created>
  <dcterms:modified xsi:type="dcterms:W3CDTF">2025-12-03T03:06:59Z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99D87B3481FD4D439F27E2F0F2BF54A0_11</vt:lpwstr>
  </property>
  <property fmtid="{D5CDD505-2E9C-101B-9397-08002B2CF9AE}" pid="3" name="KSOProductBuildVer">
    <vt:lpwstr>1033-12.2.0.20326</vt:lpwstr>
  </property>
</Properties>
</file>